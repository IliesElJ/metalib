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rmes\PycharmProjects\metalib\metalib\research\reports\"/>
    </mc:Choice>
  </mc:AlternateContent>
  <bookViews>
    <workbookView xWindow="0" yWindow="0" windowWidth="51600" windowHeight="17610"/>
  </bookViews>
  <sheets>
    <sheet name="By Symbol" sheetId="1" r:id="rId1"/>
    <sheet name="Summary (avg across 8 symbols)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<sst xmlns="http://schemas.openxmlformats.org/spreadsheetml/2006/main" count="125" uniqueCount="38">
  <si>
    <t>Symbol</t>
  </si>
  <si>
    <t>Config</t>
  </si>
  <si>
    <t>Closed Trades</t>
  </si>
  <si>
    <t>Win Rate %</t>
  </si>
  <si>
    <t>Avg Winner (R)</t>
  </si>
  <si>
    <t>Profit Factor</t>
  </si>
  <si>
    <t>Breakeven WR %</t>
  </si>
  <si>
    <t>Edge (pp)</t>
  </si>
  <si>
    <t>Sharpe (vbt)</t>
  </si>
  <si>
    <t>Sortino</t>
  </si>
  <si>
    <t>Calmar</t>
  </si>
  <si>
    <t>Total Return %</t>
  </si>
  <si>
    <t>Max DD %</t>
  </si>
  <si>
    <t>Kelly</t>
  </si>
  <si>
    <t>US30</t>
  </si>
  <si>
    <t>Baseline (no gate)</t>
  </si>
  <si>
    <t>Regression Gate (OLS R2&gt;=0.5)</t>
  </si>
  <si>
    <t>Spearman (rho&gt;=0.5)</t>
  </si>
  <si>
    <t>Spearman (rho&gt;=0.82)</t>
  </si>
  <si>
    <t>Spearman (rho&gt;=0.85)</t>
  </si>
  <si>
    <t>GER30</t>
  </si>
  <si>
    <t>HK50</t>
  </si>
  <si>
    <t>JP225</t>
  </si>
  <si>
    <t>US500</t>
  </si>
  <si>
    <t>UK100</t>
  </si>
  <si>
    <t>US100</t>
  </si>
  <si>
    <t>GER40</t>
  </si>
  <si>
    <t>Avg Closed Trades</t>
  </si>
  <si>
    <t>Avg Win Rate %</t>
  </si>
  <si>
    <t>Avg Sharpe (vbt)</t>
  </si>
  <si>
    <t>Median Sharpe (vbt)</t>
  </si>
  <si>
    <t>Avg Sortino</t>
  </si>
  <si>
    <t>Avg Total Return %</t>
  </si>
  <si>
    <t>Avg Max DD %</t>
  </si>
  <si>
    <t>Column Labels</t>
  </si>
  <si>
    <t>Grand Total</t>
  </si>
  <si>
    <t>Row Labels</t>
  </si>
  <si>
    <t>Average of Sharpe (vbt)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</si>
</sst>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0.00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E0E0E0"/>
      <name val="Calibri"/>
    </font>
    <font>
      <sz val="11"/>
      <color rgb="FFFF3D3D"/>
      <name val="Calibri"/>
    </font>
    <font>
      <sz val="11"/>
      <color rgb="FF00C85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9EFF"/>
      </patternFill>
    </fill>
    <fill>
      <patternFill patternType="solid">
        <fgColor rgb="FF1A1D27"/>
      </patternFill>
    </fill>
    <fill>
      <patternFill patternType="solid">
        <fgColor rgb="FF0F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2" fontId="2" fillId="3" borderId="0" xfId="0" applyNumberFormat="1" applyFont="1" applyFill="1"/>
    <xf numFmtId="165" fontId="3" fillId="3" borderId="0" xfId="0" applyNumberFormat="1" applyFont="1" applyFill="1"/>
    <xf numFmtId="165" fontId="2" fillId="3" borderId="0" xfId="0" applyNumberFormat="1" applyFont="1" applyFill="1"/>
    <xf numFmtId="166" fontId="2" fillId="3" borderId="0" xfId="0" applyNumberFormat="1" applyFont="1" applyFill="1"/>
    <xf numFmtId="0" fontId="2" fillId="4" borderId="0" xfId="0" applyFont="1" applyFill="1"/>
    <xf numFmtId="1" fontId="2" fillId="4" borderId="0" xfId="0" applyNumberFormat="1" applyFont="1" applyFill="1"/>
    <xf numFmtId="164" fontId="2" fillId="4" borderId="0" xfId="0" applyNumberFormat="1" applyFont="1" applyFill="1"/>
    <xf numFmtId="2" fontId="2" fillId="4" borderId="0" xfId="0" applyNumberFormat="1" applyFont="1" applyFill="1"/>
    <xf numFmtId="165" fontId="4" fillId="4" borderId="0" xfId="0" applyNumberFormat="1" applyFont="1" applyFill="1"/>
    <xf numFmtId="165" fontId="2" fillId="4" borderId="0" xfId="0" applyNumberFormat="1" applyFont="1" applyFill="1"/>
    <xf numFmtId="166" fontId="2" fillId="4" borderId="0" xfId="0" applyNumberFormat="1" applyFont="1" applyFill="1"/>
    <xf numFmtId="165" fontId="3" fillId="4" borderId="0" xfId="0" applyNumberFormat="1" applyFont="1" applyFill="1"/>
    <xf numFmtId="165" fontId="4" fillId="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1"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rmes" refreshedDate="46231.934167939813" createdVersion="6" refreshedVersion="6" minRefreshableVersion="3" recordCount="40">
  <cacheSource type="worksheet">
    <worksheetSource ref="A1:N41" sheet="By Symbol"/>
  </cacheSource>
  <cacheFields count="14">
    <cacheField name="Symbol" numFmtId="0">
      <sharedItems count="8">
        <s v="US30"/>
        <s v="GER30"/>
        <s v="HK50"/>
        <s v="JP225"/>
        <s v="US500"/>
        <s v="UK100"/>
        <s v="US100"/>
        <s v="GER40"/>
      </sharedItems>
    </cacheField>
    <cacheField name="Config" numFmtId="0">
      <sharedItems count="5">
        <s v="Baseline (no gate)"/>
        <s v="Regression Gate (OLS R2&gt;=0.5)"/>
        <s v="Spearman (rho&gt;=0.5)"/>
        <s v="Spearman (rho&gt;=0.82)"/>
        <s v="Spearman (rho&gt;=0.85)"/>
      </sharedItems>
    </cacheField>
    <cacheField name="Closed Trades" numFmtId="1">
      <sharedItems containsSemiMixedTypes="0" containsString="0" containsNumber="1" containsInteger="1" minValue="11" maxValue="889"/>
    </cacheField>
    <cacheField name="Win Rate %" numFmtId="164">
      <sharedItems containsSemiMixedTypes="0" containsString="0" containsNumber="1" minValue="9.0909090909090917" maxValue="38.095238095238088"/>
    </cacheField>
    <cacheField name="Avg Winner (R)" numFmtId="2">
      <sharedItems containsSemiMixedTypes="0" containsString="0" containsNumber="1" minValue="2.0724946695095992" maxValue="4.9516539869303946"/>
    </cacheField>
    <cacheField name="Profit Factor" numFmtId="2">
      <sharedItems containsSemiMixedTypes="0" containsString="0" containsNumber="1" minValue="0.2476496216464123" maxValue="2.99458623895051"/>
    </cacheField>
    <cacheField name="Breakeven WR %" numFmtId="164">
      <sharedItems containsSemiMixedTypes="0" containsString="0" containsNumber="1" minValue="16.80205203790344" maxValue="32.546842470506547"/>
    </cacheField>
    <cacheField name="Edge (pp)" numFmtId="2">
      <sharedItems containsSemiMixedTypes="0" containsString="0" containsNumber="1" minValue="-23.455933379597461" maxValue="16.03964223793675"/>
    </cacheField>
    <cacheField name="Sharpe (vbt)" numFmtId="165">
      <sharedItems containsSemiMixedTypes="0" containsString="0" containsNumber="1" minValue="-1.5074494494522019" maxValue="1.1614255952776831"/>
    </cacheField>
    <cacheField name="Sortino" numFmtId="165">
      <sharedItems containsSemiMixedTypes="0" containsString="0" containsNumber="1" minValue="-1.3737074863246941" maxValue="1.6779831483572341"/>
    </cacheField>
    <cacheField name="Calmar" numFmtId="165">
      <sharedItems containsSemiMixedTypes="0" containsString="0" containsNumber="1" minValue="-0.63895740311109472" maxValue="0.94576114629902019"/>
    </cacheField>
    <cacheField name="Total Return %" numFmtId="166">
      <sharedItems containsSemiMixedTypes="0" containsString="0" containsNumber="1" minValue="-4.0356219552990834E-3" maxValue="3.752046127072548E-3"/>
    </cacheField>
    <cacheField name="Max DD %" numFmtId="166">
      <sharedItems containsSemiMixedTypes="0" containsString="0" containsNumber="1" minValue="3.6565607846593011E-4" maxValue="6.4984915242179819E-3"/>
    </cacheField>
    <cacheField name="Kelly" numFmtId="165">
      <sharedItems containsSemiMixedTypes="0" containsString="0" containsNumber="1" minValue="-2.481359879573664" maxValue="0.30818947652507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n v="818"/>
    <n v="20.293398533007331"/>
    <n v="3.561402157955595"/>
    <n v="0.89356262653057605"/>
    <n v="21.9230834153899"/>
    <n v="-1.629684882382568"/>
    <n v="-0.66567142632110798"/>
    <n v="-0.70294809561975946"/>
    <n v="-8.9779874226479178E-2"/>
    <n v="-3.5729302418800188E-3"/>
    <n v="6.4984915242179819E-3"/>
    <n v="-5.5791650301919307E-2"/>
  </r>
  <r>
    <x v="0"/>
    <x v="1"/>
    <n v="63"/>
    <n v="22.222222222222221"/>
    <n v="3.8484375350196611"/>
    <n v="1.226492924452379"/>
    <n v="20.625201269009331"/>
    <n v="1.5970209532128881"/>
    <n v="0.30165945012776552"/>
    <n v="0.35109572764090707"/>
    <n v="0.1037609137252448"/>
    <n v="3.7282846700568137E-4"/>
    <n v="7.3230614148653294E-4"/>
    <n v="5.803513360271903E-2"/>
  </r>
  <r>
    <x v="0"/>
    <x v="2"/>
    <n v="299"/>
    <n v="17.056856187290968"/>
    <n v="4.0322050828398188"/>
    <n v="0.71986432308211179"/>
    <n v="19.872004092402189"/>
    <n v="-2.8151479051112229"/>
    <n v="-0.68768707074845681"/>
    <n v="-0.7608770288358877"/>
    <n v="-0.12742515238581631"/>
    <n v="-2.6603336601336981E-3"/>
    <n v="3.4693738711021349E-3"/>
    <n v="-9.7803510760628848E-2"/>
  </r>
  <r>
    <x v="0"/>
    <x v="3"/>
    <n v="74"/>
    <n v="16.216216216216221"/>
    <n v="4.8052476146101464"/>
    <n v="1.164687642044578"/>
    <n v="17.22579408125997"/>
    <n v="-1.009577865043751"/>
    <n v="0.14579916176308791"/>
    <n v="0.2229528084115463"/>
    <n v="6.530452668139787E-2"/>
    <n v="1.750324445919227E-4"/>
    <n v="4.7479220064107703E-4"/>
    <n v="3.2558718891202647E-2"/>
  </r>
  <r>
    <x v="0"/>
    <x v="4"/>
    <n v="49"/>
    <n v="16.326530612244898"/>
    <n v="3.9825205752569528"/>
    <n v="0.91656135219554857"/>
    <n v="20.070162980680301"/>
    <n v="-3.7436323684354011"/>
    <n v="-3.0417156290742851E-2"/>
    <n v="-3.6909735129208768E-2"/>
    <n v="-1.278910374167655E-2"/>
    <n v="-2.7541337989107631E-5"/>
    <n v="4.0577692575741333E-4"/>
    <n v="-8.0036637223135226E-3"/>
  </r>
  <r>
    <x v="1"/>
    <x v="0"/>
    <n v="208"/>
    <n v="22.59615384615385"/>
    <n v="2.914811128836313"/>
    <n v="0.95902468373798733"/>
    <n v="25.544016482277971"/>
    <n v="-2.9478626361241238"/>
    <n v="-0.138136925022594"/>
    <n v="-0.16148126111399849"/>
    <n v="-7.9800656368416656E-2"/>
    <n v="-2.9427853195531208E-4"/>
    <n v="2.6172829719863849E-3"/>
    <n v="-1.287689856126573E-2"/>
  </r>
  <r>
    <x v="1"/>
    <x v="1"/>
    <n v="11"/>
    <n v="9.0909090909090917"/>
    <n v="2.0724946695095992"/>
    <n v="0.2476496216464123"/>
    <n v="32.546842470506547"/>
    <n v="-23.455933379597461"/>
    <n v="-1.5074494494522019"/>
    <n v="-1.3737074863246941"/>
    <n v="-0.63895740311109472"/>
    <n v="-5.8921194978341248E-4"/>
    <n v="8.1938622235238072E-4"/>
    <n v="-2.481359879573664"/>
  </r>
  <r>
    <x v="1"/>
    <x v="2"/>
    <n v="72"/>
    <n v="25"/>
    <n v="2.8486632161173122"/>
    <n v="1.2421437575950309"/>
    <n v="25.98304771932839"/>
    <n v="-0.98304771932839485"/>
    <n v="0.67587885976834572"/>
    <n v="0.81499788940087581"/>
    <n v="0.59281750320802773"/>
    <n v="1.026055188478736E-3"/>
    <n v="1.5315114165565949E-3"/>
    <n v="7.4671597945133478E-2"/>
  </r>
  <r>
    <x v="1"/>
    <x v="3"/>
    <n v="19"/>
    <n v="15.789473684210529"/>
    <n v="2.3243606805102379"/>
    <n v="0.83217473759932081"/>
    <n v="30.080971835057181"/>
    <n v="-14.29149815084665"/>
    <n v="-0.29091161728019138"/>
    <n v="-0.43941873367456902"/>
    <n v="-0.24148331190878869"/>
    <n v="-1.4943959414796869E-4"/>
    <n v="5.2324634287413457E-4"/>
    <n v="-5.0966476553814477E-2"/>
  </r>
  <r>
    <x v="1"/>
    <x v="4"/>
    <n v="12"/>
    <n v="16.666666666666661"/>
    <n v="2.7597340175635008"/>
    <n v="0.56751883247105661"/>
    <n v="26.59762619718644"/>
    <n v="-9.9309595305197753"/>
    <n v="-0.6659615168978954"/>
    <n v="-0.9981995173423216"/>
    <n v="-0.44080969777127049"/>
    <n v="-2.7278564025246872E-4"/>
    <n v="5.0448436447496727E-4"/>
    <n v="-0.34354857609552331"/>
  </r>
  <r>
    <x v="2"/>
    <x v="0"/>
    <n v="860"/>
    <n v="20.813953488372089"/>
    <n v="3.4489704693162899"/>
    <n v="0.91746847421295463"/>
    <n v="22.47711030893128"/>
    <n v="-1.663156820559186"/>
    <n v="-0.38788216284233401"/>
    <n v="-0.40004462960551668"/>
    <n v="-9.3918293940887285E-2"/>
    <n v="-3.2320198279185181E-3"/>
    <n v="5.6425580639712751E-3"/>
    <n v="-3.3612940407753963E-2"/>
  </r>
  <r>
    <x v="2"/>
    <x v="1"/>
    <n v="59"/>
    <n v="23.728813559322031"/>
    <n v="3.792422542796237"/>
    <n v="0.93331935599409588"/>
    <n v="20.866273603172932"/>
    <n v="2.8625399561491038"/>
    <n v="-5.7230187460456444E-3"/>
    <n v="-6.9038844114704349E-3"/>
    <n v="-2.8409416942249449E-3"/>
    <n v="-1.5323538206744039E-5"/>
    <n v="1.123832299074534E-3"/>
    <n v="-1.4261010173843851E-3"/>
  </r>
  <r>
    <x v="2"/>
    <x v="2"/>
    <n v="293"/>
    <n v="20.81911262798635"/>
    <n v="3.7240761247716549"/>
    <n v="0.99073303041219551"/>
    <n v="21.168160156359392"/>
    <n v="-0.34904752837304209"/>
    <n v="2.0810380008163459E-2"/>
    <n v="2.3960701997779121E-2"/>
    <n v="5.0818584557453771E-3"/>
    <n v="1.075974906220911E-4"/>
    <n v="3.3531926892118378E-3"/>
    <n v="2.4941340222860162E-3"/>
  </r>
  <r>
    <x v="2"/>
    <x v="3"/>
    <n v="94"/>
    <n v="10.638297872340431"/>
    <n v="3.969864347466654"/>
    <n v="0.49251033880992012"/>
    <n v="20.121273541595581"/>
    <n v="-9.4829756692551594"/>
    <n v="-0.97156755032779174"/>
    <n v="-0.98202289053713787"/>
    <n v="-0.13481734830388581"/>
    <n v="-2.724912082664743E-3"/>
    <n v="3.1152651537877879E-3"/>
    <n v="-0.18250984008605881"/>
  </r>
  <r>
    <x v="2"/>
    <x v="4"/>
    <n v="69"/>
    <n v="11.594202898550719"/>
    <n v="3.7803010833440132"/>
    <n v="0.59180761968070539"/>
    <n v="20.919184431380199"/>
    <n v="-9.3249815328294776"/>
    <n v="-0.63691699501030274"/>
    <n v="-0.68213354480778821"/>
    <n v="-0.1302944579498953"/>
    <n v="-1.5305686412361299E-3"/>
    <n v="1.821506006201967E-3"/>
    <n v="-0.15533184582064119"/>
  </r>
  <r>
    <x v="3"/>
    <x v="0"/>
    <n v="866"/>
    <n v="25.173210161662819"/>
    <n v="3.4688408013640002"/>
    <n v="1.064736006383262"/>
    <n v="22.37716769178207"/>
    <n v="2.796042469880744"/>
    <n v="0.46871295848098687"/>
    <n v="0.51072861622262078"/>
    <n v="0.1837742805895996"/>
    <n v="3.752046127072548E-3"/>
    <n v="3.5219674051845651E-3"/>
    <n v="3.6656644008161862E-2"/>
  </r>
  <r>
    <x v="3"/>
    <x v="1"/>
    <n v="62"/>
    <n v="30.64516129032258"/>
    <n v="3.7269258233135631"/>
    <n v="1.552334993532194"/>
    <n v="21.155398611671099"/>
    <n v="9.4897626786514842"/>
    <n v="0.62110748826950668"/>
    <n v="0.73150760704564521"/>
    <n v="0.21381496512745549"/>
    <n v="1.072425835254574E-3"/>
    <n v="9.2806313322462764E-4"/>
    <n v="0.1196604187943648"/>
  </r>
  <r>
    <x v="3"/>
    <x v="2"/>
    <n v="296"/>
    <n v="24.32432432432433"/>
    <n v="4.2738874274445511"/>
    <n v="1.216933161796238"/>
    <n v="18.961345189056249"/>
    <n v="5.3629791352680716"/>
    <n v="0.51420492543867069"/>
    <n v="0.52549508934770683"/>
    <n v="0.1498805653439591"/>
    <n v="2.3128896562176491E-3"/>
    <n v="2.644132342019804E-3"/>
    <n v="5.5089367089613747E-2"/>
  </r>
  <r>
    <x v="3"/>
    <x v="3"/>
    <n v="71"/>
    <n v="22.535211267605639"/>
    <n v="4.3458685598387001"/>
    <n v="1.564131301055989"/>
    <n v="18.706034179601549"/>
    <n v="3.8291770880040898"/>
    <n v="0.40845429605942057"/>
    <n v="0.54907371376139413"/>
    <n v="0.20637591109622699"/>
    <n v="1.0059324596752781E-3"/>
    <n v="9.2271235083924157E-4"/>
    <n v="9.3097238376584207E-2"/>
  </r>
  <r>
    <x v="3"/>
    <x v="4"/>
    <n v="54"/>
    <n v="16.666666666666661"/>
    <n v="3.2698558102383801"/>
    <n v="0.79398434281005359"/>
    <n v="23.419994595652909"/>
    <n v="-6.7533279289862387"/>
    <n v="-0.21646048054630501"/>
    <n v="-0.27390606880759127"/>
    <n v="-6.2468012482102382E-2"/>
    <n v="-4.6283092763859112E-4"/>
    <n v="1.212687207205153E-3"/>
    <n v="-6.3131988800692887E-2"/>
  </r>
  <r>
    <x v="4"/>
    <x v="0"/>
    <n v="842"/>
    <n v="22.921615201900241"/>
    <n v="3.655376098402868"/>
    <n v="1.060212238091409"/>
    <n v="21.48054161173085"/>
    <n v="1.441073590169389"/>
    <n v="0.29105035338680391"/>
    <n v="0.32714379301557639"/>
    <n v="0.13075627111263519"/>
    <n v="1.882318015069841E-3"/>
    <n v="2.7237014532493181E-3"/>
    <n v="2.6843757801333881E-2"/>
  </r>
  <r>
    <x v="4"/>
    <x v="1"/>
    <n v="57"/>
    <n v="24.561403508771932"/>
    <n v="4.2896427955950944"/>
    <n v="1.4008203996449751"/>
    <n v="18.904868223478939"/>
    <n v="5.6565352852929882"/>
    <n v="0.57307445093378184"/>
    <n v="0.73542440899550732"/>
    <n v="0.28385297847003832"/>
    <n v="6.5969167729875268E-4"/>
    <n v="5.2212010017295212E-4"/>
    <n v="0.1195483948477299"/>
  </r>
  <r>
    <x v="4"/>
    <x v="2"/>
    <n v="313"/>
    <n v="21.725239616613418"/>
    <n v="4.4405986895762473"/>
    <n v="1.0801869462315981"/>
    <n v="18.380330126460539"/>
    <n v="3.344909490152884"/>
    <n v="0.33790194248873978"/>
    <n v="0.36812219064898472"/>
    <n v="9.7395352070395708E-2"/>
    <n v="1.4933614829872211E-3"/>
    <n v="2.9464255876300769E-3"/>
    <n v="5.2768932131750851E-2"/>
  </r>
  <r>
    <x v="4"/>
    <x v="3"/>
    <n v="69"/>
    <n v="30.434782608695659"/>
    <n v="4.9516539869303946"/>
    <n v="1.798186154100827"/>
    <n v="16.80205203790344"/>
    <n v="13.63273057079221"/>
    <n v="1.0074838749234161"/>
    <n v="1.3411421010430611"/>
    <n v="0.37749799752752872"/>
    <n v="1.05838956214169E-3"/>
    <n v="6.5040797663602485E-4"/>
    <n v="0.19651218107625609"/>
  </r>
  <r>
    <x v="4"/>
    <x v="4"/>
    <n v="47"/>
    <n v="27.659574468085111"/>
    <n v="4.3908439669238284"/>
    <n v="1.666367121587276"/>
    <n v="18.549971138760839"/>
    <n v="9.1096033293242709"/>
    <n v="0.81838035954984267"/>
    <n v="1.0808059198382309"/>
    <n v="0.25903452388902282"/>
    <n v="6.91146334222883E-4"/>
    <n v="5.015220935355824E-4"/>
    <n v="0.2021842854498605"/>
  </r>
  <r>
    <x v="5"/>
    <x v="0"/>
    <n v="889"/>
    <n v="23.17210348706412"/>
    <n v="3.4383921284281742"/>
    <n v="1.107874830968224"/>
    <n v="22.53068163119114"/>
    <n v="0.64142185587297562"/>
    <n v="0.55178402205440391"/>
    <n v="0.62387712199102119"/>
    <n v="0.2072110720231421"/>
    <n v="2.6074200473968799E-3"/>
    <n v="2.2319010427580221E-3"/>
    <n v="4.2067018858736163E-2"/>
  </r>
  <r>
    <x v="5"/>
    <x v="1"/>
    <n v="75"/>
    <n v="29.333333333333329"/>
    <n v="3.8336150001894178"/>
    <n v="1.31159477641471"/>
    <n v="20.688449534371529"/>
    <n v="8.6448837989618053"/>
    <n v="0.57169225490730191"/>
    <n v="0.68500050739024998"/>
    <n v="0.14844111366054691"/>
    <n v="6.1010018442885004E-4"/>
    <n v="6.6031688991154244E-4"/>
    <n v="0.1065189248128479"/>
  </r>
  <r>
    <x v="5"/>
    <x v="2"/>
    <n v="324"/>
    <n v="19.44444444444445"/>
    <n v="3.635789838553491"/>
    <n v="0.86078021905203661"/>
    <n v="21.57129712144221"/>
    <n v="-2.1268526769977698"/>
    <n v="-0.40861071628629242"/>
    <n v="-0.46976071577405693"/>
    <n v="-0.11407219232644029"/>
    <n v="-1.0829344265535321E-3"/>
    <n v="1.573035384863722E-3"/>
    <n v="-4.3032877591823109E-2"/>
  </r>
  <r>
    <x v="5"/>
    <x v="3"/>
    <n v="88"/>
    <n v="23.86363636363636"/>
    <n v="3.80193400677505"/>
    <n v="1.213491634259624"/>
    <n v="20.82494258748871"/>
    <n v="3.038693776147658"/>
    <n v="0.30794810022750613"/>
    <n v="0.3473850105157944"/>
    <n v="0.1149213929709178"/>
    <n v="3.3782573887984889E-4"/>
    <n v="5.1760863031838627E-4"/>
    <n v="5.3717978210426003E-2"/>
  </r>
  <r>
    <x v="5"/>
    <x v="4"/>
    <n v="58"/>
    <n v="25.862068965517238"/>
    <n v="3.9751481539741351"/>
    <n v="1.533562391102588"/>
    <n v="20.099903943588149"/>
    <n v="5.7621650219290972"/>
    <n v="0.54350984480773146"/>
    <n v="0.63638500591605873"/>
    <n v="0.21064063618839121"/>
    <n v="4.6489939538956642E-4"/>
    <n v="3.6565607846593011E-4"/>
    <n v="0.1138577953757904"/>
  </r>
  <r>
    <x v="6"/>
    <x v="0"/>
    <n v="784"/>
    <n v="22.576530612244898"/>
    <n v="2.9945402781898931"/>
    <n v="0.92974685171516336"/>
    <n v="25.034169900851399"/>
    <n v="-2.457639288606503"/>
    <n v="-0.27819883886935082"/>
    <n v="-0.2871191876821057"/>
    <n v="-6.7089205280272263E-2"/>
    <n v="-2.307014353145394E-3"/>
    <n v="5.9773504251680477E-3"/>
    <n v="-2.5203995520615238E-2"/>
  </r>
  <r>
    <x v="6"/>
    <x v="1"/>
    <n v="71"/>
    <n v="21.12676056338028"/>
    <n v="4.1240262025052159"/>
    <n v="1.353431883702388"/>
    <n v="19.5159033244421"/>
    <n v="1.610857238938177"/>
    <n v="0.41291336929486061"/>
    <n v="0.46900380171546813"/>
    <n v="0.1671154916550282"/>
    <n v="8.8812907197669325E-4"/>
    <n v="1.163968768459422E-3"/>
    <n v="6.9736105122862727E-2"/>
  </r>
  <r>
    <x v="6"/>
    <x v="2"/>
    <n v="285"/>
    <n v="16.84210526315789"/>
    <n v="3.9105426077923671"/>
    <n v="0.65706529593694996"/>
    <n v="20.36434829855941"/>
    <n v="-3.52224303540152"/>
    <n v="-0.80538953620800335"/>
    <n v="-0.75329919279810675"/>
    <n v="-0.15200188436342579"/>
    <n v="-4.0356219552990834E-3"/>
    <n v="4.8896451671491146E-3"/>
    <n v="-0.1212769486604839"/>
  </r>
  <r>
    <x v="6"/>
    <x v="3"/>
    <n v="71"/>
    <n v="28.16901408450704"/>
    <n v="3.9211009054250949"/>
    <n v="2.1910738410355441"/>
    <n v="20.320656276273159"/>
    <n v="7.8483578082338799"/>
    <n v="1.1614255952776831"/>
    <n v="1.6121258309660089"/>
    <n v="0.7570127120434984"/>
    <n v="2.8892646463449289E-3"/>
    <n v="8.3520909820874025E-4"/>
    <n v="0.2401441159684759"/>
  </r>
  <r>
    <x v="6"/>
    <x v="4"/>
    <n v="41"/>
    <n v="26.829268292682929"/>
    <n v="4.3365581669197768"/>
    <n v="2.1259850848892081"/>
    <n v="18.738669545453359"/>
    <n v="8.0905987472295742"/>
    <n v="0.94988550562379348"/>
    <n v="1.36620873385972"/>
    <n v="0.7026741737594725"/>
    <n v="1.8666136034705991E-3"/>
    <n v="7.1910077624770617E-4"/>
    <n v="0.23710891177972171"/>
  </r>
  <r>
    <x v="7"/>
    <x v="0"/>
    <n v="848"/>
    <n v="22.169811320754722"/>
    <n v="3.501247706567383"/>
    <n v="1.027799240086589"/>
    <n v="22.216062416227089"/>
    <n v="-4.6251095472368831E-2"/>
    <n v="0.18232212403816311"/>
    <n v="0.19649740011668509"/>
    <n v="5.4846177198038033E-2"/>
    <n v="1.1545214716004561E-3"/>
    <n v="3.4912437962178878E-3"/>
    <n v="1.5023134936721361E-2"/>
  </r>
  <r>
    <x v="7"/>
    <x v="1"/>
    <n v="42"/>
    <n v="38.095238095238088"/>
    <n v="3.5339967528873522"/>
    <n v="2.99458623895051"/>
    <n v="22.055595857301341"/>
    <n v="16.03964223793675"/>
    <n v="1.15779351744251"/>
    <n v="1.6779831483572341"/>
    <n v="0.94576114629902019"/>
    <n v="1.641024861497566E-3"/>
    <n v="6.2392143095252306E-4"/>
    <n v="0.30818947652507278"/>
  </r>
  <r>
    <x v="7"/>
    <x v="2"/>
    <n v="275"/>
    <n v="20.36363636363636"/>
    <n v="3.570987482051037"/>
    <n v="1.013937835026322"/>
    <n v="21.877110885267459"/>
    <n v="-1.5134745216310921"/>
    <n v="6.5679053175793853E-2"/>
    <n v="7.5605566940187427E-2"/>
    <n v="2.0509387032421271E-2"/>
    <n v="2.4259276616783729E-4"/>
    <n v="2.0969381702682539E-3"/>
    <n v="8.263699533140734E-3"/>
  </r>
  <r>
    <x v="7"/>
    <x v="3"/>
    <n v="73"/>
    <n v="23.287671232876711"/>
    <n v="3.893961917261417"/>
    <n v="0.98940910393146764"/>
    <n v="20.433342492366261"/>
    <n v="2.8543287405104478"/>
    <n v="-4.8241323863497439E-3"/>
    <n v="-5.9712505505572803E-3"/>
    <n v="-1.87885587046485E-3"/>
    <n v="-7.1225042080858002E-6"/>
    <n v="6.8178002057876015E-4"/>
    <n v="-1.162625276650041E-3"/>
  </r>
  <r>
    <x v="7"/>
    <x v="4"/>
    <n v="63"/>
    <n v="20.634920634920629"/>
    <n v="3.7222978571295231"/>
    <n v="0.82366346809895752"/>
    <n v="21.176131414291099"/>
    <n v="-0.54121077937046291"/>
    <n v="-0.2718236054196736"/>
    <n v="-0.319606212558806"/>
    <n v="-8.6210058348570456E-2"/>
    <n v="-3.3197145405426058E-4"/>
    <n v="6.9207198991537249E-4"/>
    <n v="-7.608403713299696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R9:AA16" firstHeaderRow="1" firstDataRow="2" firstDataCol="1"/>
  <pivotFields count="14">
    <pivotField axis="axisCol" showAll="0">
      <items count="9">
        <item x="1"/>
        <item x="7"/>
        <item x="2"/>
        <item x="3"/>
        <item x="5"/>
        <item x="6"/>
        <item x="0"/>
        <item x="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numFmtId="1" showAll="0"/>
    <pivotField numFmtId="164" showAll="0"/>
    <pivotField numFmtId="2" showAll="0"/>
    <pivotField numFmtId="2" showAll="0"/>
    <pivotField numFmtId="164" showAll="0"/>
    <pivotField numFmtId="2" showAll="0"/>
    <pivotField dataField="1" numFmtId="165" showAll="0"/>
    <pivotField numFmtId="165" showAll="0"/>
    <pivotField numFmtId="165" showAll="0"/>
    <pivotField numFmtId="166" showAll="0"/>
    <pivotField numFmtId="166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Sharpe (vbt)" fld="8" subtotal="average" baseField="1" baseItem="0" numFmtId="43"/>
  </dataFields>
  <formats count="1">
    <format dxfId="0">
      <pivotArea outline="0" collapsedLevelsAreSubtotals="1" fieldPosition="0"/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abSelected="1" topLeftCell="G1" zoomScale="115" zoomScaleNormal="115" workbookViewId="0">
      <pane ySplit="1" topLeftCell="A8" activePane="bottomLeft" state="frozen"/>
      <selection pane="bottomLeft" activeCell="T12" sqref="T12"/>
    </sheetView>
  </sheetViews>
  <sheetFormatPr defaultRowHeight="15" x14ac:dyDescent="0.25"/>
  <cols>
    <col min="1" max="1" width="12" customWidth="1"/>
    <col min="2" max="2" width="34.140625" customWidth="1"/>
    <col min="3" max="3" width="15" customWidth="1"/>
    <col min="4" max="4" width="12" customWidth="1"/>
    <col min="5" max="5" width="16" customWidth="1"/>
    <col min="6" max="6" width="15" customWidth="1"/>
    <col min="7" max="7" width="16" customWidth="1"/>
    <col min="8" max="8" width="12" customWidth="1"/>
    <col min="9" max="9" width="14" customWidth="1"/>
    <col min="10" max="11" width="12" customWidth="1"/>
    <col min="12" max="12" width="16" customWidth="1"/>
    <col min="13" max="14" width="12" customWidth="1"/>
    <col min="18" max="18" width="28.140625" bestFit="1" customWidth="1"/>
    <col min="19" max="19" width="16.28515625" bestFit="1" customWidth="1"/>
    <col min="20" max="25" width="12.7109375" customWidth="1"/>
    <col min="26" max="27" width="12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7" x14ac:dyDescent="0.25">
      <c r="A2" s="2" t="s">
        <v>14</v>
      </c>
      <c r="B2" s="2" t="s">
        <v>15</v>
      </c>
      <c r="C2" s="3">
        <v>818</v>
      </c>
      <c r="D2" s="4">
        <v>20.293398533007331</v>
      </c>
      <c r="E2" s="5">
        <v>3.561402157955595</v>
      </c>
      <c r="F2" s="5">
        <v>0.89356262653057605</v>
      </c>
      <c r="G2" s="4">
        <v>21.9230834153899</v>
      </c>
      <c r="H2" s="5">
        <v>-1.629684882382568</v>
      </c>
      <c r="I2" s="6">
        <v>-0.66567142632110798</v>
      </c>
      <c r="J2" s="7">
        <v>-0.70294809561975946</v>
      </c>
      <c r="K2" s="7">
        <v>-8.9779874226479178E-2</v>
      </c>
      <c r="L2" s="8">
        <v>-3.5729302418800188E-3</v>
      </c>
      <c r="M2" s="8">
        <v>6.4984915242179819E-3</v>
      </c>
      <c r="N2" s="7">
        <v>-5.5791650301919307E-2</v>
      </c>
    </row>
    <row r="3" spans="1:27" x14ac:dyDescent="0.25">
      <c r="A3" s="9" t="s">
        <v>14</v>
      </c>
      <c r="B3" s="9" t="s">
        <v>16</v>
      </c>
      <c r="C3" s="10">
        <v>63</v>
      </c>
      <c r="D3" s="11">
        <v>22.222222222222221</v>
      </c>
      <c r="E3" s="12">
        <v>3.8484375350196611</v>
      </c>
      <c r="F3" s="12">
        <v>1.226492924452379</v>
      </c>
      <c r="G3" s="11">
        <v>20.625201269009331</v>
      </c>
      <c r="H3" s="12">
        <v>1.5970209532128881</v>
      </c>
      <c r="I3" s="13">
        <v>0.30165945012776552</v>
      </c>
      <c r="J3" s="14">
        <v>0.35109572764090707</v>
      </c>
      <c r="K3" s="14">
        <v>0.1037609137252448</v>
      </c>
      <c r="L3" s="15">
        <v>3.7282846700568137E-4</v>
      </c>
      <c r="M3" s="15">
        <v>7.3230614148653294E-4</v>
      </c>
      <c r="N3" s="14">
        <v>5.803513360271903E-2</v>
      </c>
    </row>
    <row r="4" spans="1:27" x14ac:dyDescent="0.25">
      <c r="A4" s="2" t="s">
        <v>14</v>
      </c>
      <c r="B4" s="2" t="s">
        <v>17</v>
      </c>
      <c r="C4" s="3">
        <v>299</v>
      </c>
      <c r="D4" s="4">
        <v>17.056856187290968</v>
      </c>
      <c r="E4" s="5">
        <v>4.0322050828398188</v>
      </c>
      <c r="F4" s="5">
        <v>0.71986432308211179</v>
      </c>
      <c r="G4" s="4">
        <v>19.872004092402189</v>
      </c>
      <c r="H4" s="5">
        <v>-2.8151479051112229</v>
      </c>
      <c r="I4" s="6">
        <v>-0.68768707074845681</v>
      </c>
      <c r="J4" s="7">
        <v>-0.7608770288358877</v>
      </c>
      <c r="K4" s="7">
        <v>-0.12742515238581631</v>
      </c>
      <c r="L4" s="8">
        <v>-2.6603336601336981E-3</v>
      </c>
      <c r="M4" s="8">
        <v>3.4693738711021349E-3</v>
      </c>
      <c r="N4" s="7">
        <v>-9.7803510760628848E-2</v>
      </c>
    </row>
    <row r="5" spans="1:27" x14ac:dyDescent="0.25">
      <c r="A5" s="9" t="s">
        <v>14</v>
      </c>
      <c r="B5" s="9" t="s">
        <v>18</v>
      </c>
      <c r="C5" s="10">
        <v>74</v>
      </c>
      <c r="D5" s="11">
        <v>16.216216216216221</v>
      </c>
      <c r="E5" s="12">
        <v>4.8052476146101464</v>
      </c>
      <c r="F5" s="12">
        <v>1.164687642044578</v>
      </c>
      <c r="G5" s="11">
        <v>17.22579408125997</v>
      </c>
      <c r="H5" s="12">
        <v>-1.009577865043751</v>
      </c>
      <c r="I5" s="13">
        <v>0.14579916176308791</v>
      </c>
      <c r="J5" s="14">
        <v>0.2229528084115463</v>
      </c>
      <c r="K5" s="14">
        <v>6.530452668139787E-2</v>
      </c>
      <c r="L5" s="15">
        <v>1.750324445919227E-4</v>
      </c>
      <c r="M5" s="15">
        <v>4.7479220064107703E-4</v>
      </c>
      <c r="N5" s="14">
        <v>3.2558718891202647E-2</v>
      </c>
    </row>
    <row r="6" spans="1:27" x14ac:dyDescent="0.25">
      <c r="A6" s="2" t="s">
        <v>14</v>
      </c>
      <c r="B6" s="2" t="s">
        <v>19</v>
      </c>
      <c r="C6" s="3">
        <v>49</v>
      </c>
      <c r="D6" s="4">
        <v>16.326530612244898</v>
      </c>
      <c r="E6" s="5">
        <v>3.9825205752569528</v>
      </c>
      <c r="F6" s="5">
        <v>0.91656135219554857</v>
      </c>
      <c r="G6" s="4">
        <v>20.070162980680301</v>
      </c>
      <c r="H6" s="5">
        <v>-3.7436323684354011</v>
      </c>
      <c r="I6" s="6">
        <v>-3.0417156290742851E-2</v>
      </c>
      <c r="J6" s="7">
        <v>-3.6909735129208768E-2</v>
      </c>
      <c r="K6" s="7">
        <v>-1.278910374167655E-2</v>
      </c>
      <c r="L6" s="8">
        <v>-2.7541337989107631E-5</v>
      </c>
      <c r="M6" s="8">
        <v>4.0577692575741333E-4</v>
      </c>
      <c r="N6" s="7">
        <v>-8.0036637223135226E-3</v>
      </c>
    </row>
    <row r="7" spans="1:27" x14ac:dyDescent="0.25">
      <c r="A7" s="9" t="s">
        <v>20</v>
      </c>
      <c r="B7" s="9" t="s">
        <v>15</v>
      </c>
      <c r="C7" s="10">
        <v>208</v>
      </c>
      <c r="D7" s="11">
        <v>22.59615384615385</v>
      </c>
      <c r="E7" s="12">
        <v>2.914811128836313</v>
      </c>
      <c r="F7" s="12">
        <v>0.95902468373798733</v>
      </c>
      <c r="G7" s="11">
        <v>25.544016482277971</v>
      </c>
      <c r="H7" s="12">
        <v>-2.9478626361241238</v>
      </c>
      <c r="I7" s="16">
        <v>-0.138136925022594</v>
      </c>
      <c r="J7" s="14">
        <v>-0.16148126111399849</v>
      </c>
      <c r="K7" s="14">
        <v>-7.9800656368416656E-2</v>
      </c>
      <c r="L7" s="15">
        <v>-2.9427853195531208E-4</v>
      </c>
      <c r="M7" s="15">
        <v>2.6172829719863849E-3</v>
      </c>
      <c r="N7" s="14">
        <v>-1.287689856126573E-2</v>
      </c>
    </row>
    <row r="8" spans="1:27" x14ac:dyDescent="0.25">
      <c r="A8" s="2" t="s">
        <v>20</v>
      </c>
      <c r="B8" s="2" t="s">
        <v>16</v>
      </c>
      <c r="C8" s="3">
        <v>11</v>
      </c>
      <c r="D8" s="4">
        <v>9.0909090909090917</v>
      </c>
      <c r="E8" s="5">
        <v>2.0724946695095992</v>
      </c>
      <c r="F8" s="5">
        <v>0.2476496216464123</v>
      </c>
      <c r="G8" s="4">
        <v>32.546842470506547</v>
      </c>
      <c r="H8" s="5">
        <v>-23.455933379597461</v>
      </c>
      <c r="I8" s="6">
        <v>-1.5074494494522019</v>
      </c>
      <c r="J8" s="7">
        <v>-1.3737074863246941</v>
      </c>
      <c r="K8" s="7">
        <v>-0.63895740311109472</v>
      </c>
      <c r="L8" s="8">
        <v>-5.8921194978341248E-4</v>
      </c>
      <c r="M8" s="8">
        <v>8.1938622235238072E-4</v>
      </c>
      <c r="N8" s="7">
        <v>-2.481359879573664</v>
      </c>
    </row>
    <row r="9" spans="1:27" x14ac:dyDescent="0.25">
      <c r="A9" s="9" t="s">
        <v>20</v>
      </c>
      <c r="B9" s="9" t="s">
        <v>17</v>
      </c>
      <c r="C9" s="10">
        <v>72</v>
      </c>
      <c r="D9" s="11">
        <v>25</v>
      </c>
      <c r="E9" s="12">
        <v>2.8486632161173122</v>
      </c>
      <c r="F9" s="12">
        <v>1.2421437575950309</v>
      </c>
      <c r="G9" s="11">
        <v>25.98304771932839</v>
      </c>
      <c r="H9" s="12">
        <v>-0.98304771932839485</v>
      </c>
      <c r="I9" s="13">
        <v>0.67587885976834572</v>
      </c>
      <c r="J9" s="14">
        <v>0.81499788940087581</v>
      </c>
      <c r="K9" s="14">
        <v>0.59281750320802773</v>
      </c>
      <c r="L9" s="15">
        <v>1.026055188478736E-3</v>
      </c>
      <c r="M9" s="15">
        <v>1.5315114165565949E-3</v>
      </c>
      <c r="N9" s="14">
        <v>7.4671597945133478E-2</v>
      </c>
      <c r="R9" s="18" t="s">
        <v>37</v>
      </c>
      <c r="S9" s="18" t="s">
        <v>34</v>
      </c>
    </row>
    <row r="10" spans="1:27" x14ac:dyDescent="0.25">
      <c r="A10" s="2" t="s">
        <v>20</v>
      </c>
      <c r="B10" s="2" t="s">
        <v>18</v>
      </c>
      <c r="C10" s="3">
        <v>19</v>
      </c>
      <c r="D10" s="4">
        <v>15.789473684210529</v>
      </c>
      <c r="E10" s="5">
        <v>2.3243606805102379</v>
      </c>
      <c r="F10" s="5">
        <v>0.83217473759932081</v>
      </c>
      <c r="G10" s="4">
        <v>30.080971835057181</v>
      </c>
      <c r="H10" s="5">
        <v>-14.29149815084665</v>
      </c>
      <c r="I10" s="6">
        <v>-0.29091161728019138</v>
      </c>
      <c r="J10" s="7">
        <v>-0.43941873367456902</v>
      </c>
      <c r="K10" s="7">
        <v>-0.24148331190878869</v>
      </c>
      <c r="L10" s="8">
        <v>-1.4943959414796869E-4</v>
      </c>
      <c r="M10" s="8">
        <v>5.2324634287413457E-4</v>
      </c>
      <c r="N10" s="7">
        <v>-5.0966476553814477E-2</v>
      </c>
      <c r="R10" s="18" t="s">
        <v>36</v>
      </c>
      <c r="S10" t="s">
        <v>20</v>
      </c>
      <c r="T10" t="s">
        <v>26</v>
      </c>
      <c r="U10" t="s">
        <v>21</v>
      </c>
      <c r="V10" t="s">
        <v>22</v>
      </c>
      <c r="W10" t="s">
        <v>24</v>
      </c>
      <c r="X10" t="s">
        <v>25</v>
      </c>
      <c r="Y10" t="s">
        <v>14</v>
      </c>
      <c r="Z10" t="s">
        <v>23</v>
      </c>
      <c r="AA10" t="s">
        <v>35</v>
      </c>
    </row>
    <row r="11" spans="1:27" x14ac:dyDescent="0.25">
      <c r="A11" s="9" t="s">
        <v>20</v>
      </c>
      <c r="B11" s="9" t="s">
        <v>19</v>
      </c>
      <c r="C11" s="10">
        <v>12</v>
      </c>
      <c r="D11" s="11">
        <v>16.666666666666661</v>
      </c>
      <c r="E11" s="12">
        <v>2.7597340175635008</v>
      </c>
      <c r="F11" s="12">
        <v>0.56751883247105661</v>
      </c>
      <c r="G11" s="11">
        <v>26.59762619718644</v>
      </c>
      <c r="H11" s="12">
        <v>-9.9309595305197753</v>
      </c>
      <c r="I11" s="16">
        <v>-0.6659615168978954</v>
      </c>
      <c r="J11" s="14">
        <v>-0.9981995173423216</v>
      </c>
      <c r="K11" s="14">
        <v>-0.44080969777127049</v>
      </c>
      <c r="L11" s="15">
        <v>-2.7278564025246872E-4</v>
      </c>
      <c r="M11" s="15">
        <v>5.0448436447496727E-4</v>
      </c>
      <c r="N11" s="14">
        <v>-0.34354857609552331</v>
      </c>
      <c r="R11" s="19" t="s">
        <v>15</v>
      </c>
      <c r="S11" s="20">
        <v>-0.138136925022594</v>
      </c>
      <c r="T11" s="20">
        <v>0.18232212403816311</v>
      </c>
      <c r="U11" s="20">
        <v>-0.38788216284233401</v>
      </c>
      <c r="V11" s="20">
        <v>0.46871295848098687</v>
      </c>
      <c r="W11" s="20">
        <v>0.55178402205440391</v>
      </c>
      <c r="X11" s="20">
        <v>-0.27819883886935082</v>
      </c>
      <c r="Y11" s="20">
        <v>-0.66567142632110798</v>
      </c>
      <c r="Z11" s="20">
        <v>0.29105035338680391</v>
      </c>
      <c r="AA11" s="20">
        <v>2.9975131131213736E-3</v>
      </c>
    </row>
    <row r="12" spans="1:27" x14ac:dyDescent="0.25">
      <c r="A12" s="2" t="s">
        <v>21</v>
      </c>
      <c r="B12" s="2" t="s">
        <v>15</v>
      </c>
      <c r="C12" s="3">
        <v>860</v>
      </c>
      <c r="D12" s="4">
        <v>20.813953488372089</v>
      </c>
      <c r="E12" s="5">
        <v>3.4489704693162899</v>
      </c>
      <c r="F12" s="5">
        <v>0.91746847421295463</v>
      </c>
      <c r="G12" s="4">
        <v>22.47711030893128</v>
      </c>
      <c r="H12" s="5">
        <v>-1.663156820559186</v>
      </c>
      <c r="I12" s="6">
        <v>-0.38788216284233401</v>
      </c>
      <c r="J12" s="7">
        <v>-0.40004462960551668</v>
      </c>
      <c r="K12" s="7">
        <v>-9.3918293940887285E-2</v>
      </c>
      <c r="L12" s="8">
        <v>-3.2320198279185181E-3</v>
      </c>
      <c r="M12" s="8">
        <v>5.6425580639712751E-3</v>
      </c>
      <c r="N12" s="7">
        <v>-3.3612940407753963E-2</v>
      </c>
      <c r="R12" s="19" t="s">
        <v>16</v>
      </c>
      <c r="S12" s="20">
        <v>-1.5074494494522019</v>
      </c>
      <c r="T12" s="20">
        <v>1.15779351744251</v>
      </c>
      <c r="U12" s="20">
        <v>-5.7230187460456444E-3</v>
      </c>
      <c r="V12" s="20">
        <v>0.62110748826950668</v>
      </c>
      <c r="W12" s="20">
        <v>0.57169225490730191</v>
      </c>
      <c r="X12" s="20">
        <v>0.41291336929486061</v>
      </c>
      <c r="Y12" s="20">
        <v>0.30165945012776552</v>
      </c>
      <c r="Z12" s="20">
        <v>0.57307445093378184</v>
      </c>
      <c r="AA12" s="20">
        <v>0.26563350784718487</v>
      </c>
    </row>
    <row r="13" spans="1:27" x14ac:dyDescent="0.25">
      <c r="A13" s="9" t="s">
        <v>21</v>
      </c>
      <c r="B13" s="9" t="s">
        <v>16</v>
      </c>
      <c r="C13" s="10">
        <v>59</v>
      </c>
      <c r="D13" s="11">
        <v>23.728813559322031</v>
      </c>
      <c r="E13" s="12">
        <v>3.792422542796237</v>
      </c>
      <c r="F13" s="12">
        <v>0.93331935599409588</v>
      </c>
      <c r="G13" s="11">
        <v>20.866273603172932</v>
      </c>
      <c r="H13" s="12">
        <v>2.8625399561491038</v>
      </c>
      <c r="I13" s="16">
        <v>-5.7230187460456444E-3</v>
      </c>
      <c r="J13" s="14">
        <v>-6.9038844114704349E-3</v>
      </c>
      <c r="K13" s="14">
        <v>-2.8409416942249449E-3</v>
      </c>
      <c r="L13" s="15">
        <v>-1.5323538206744039E-5</v>
      </c>
      <c r="M13" s="15">
        <v>1.123832299074534E-3</v>
      </c>
      <c r="N13" s="14">
        <v>-1.4261010173843851E-3</v>
      </c>
      <c r="R13" s="19" t="s">
        <v>17</v>
      </c>
      <c r="S13" s="20">
        <v>0.67587885976834572</v>
      </c>
      <c r="T13" s="20">
        <v>6.5679053175793853E-2</v>
      </c>
      <c r="U13" s="20">
        <v>2.0810380008163459E-2</v>
      </c>
      <c r="V13" s="20">
        <v>0.51420492543867069</v>
      </c>
      <c r="W13" s="20">
        <v>-0.40861071628629242</v>
      </c>
      <c r="X13" s="20">
        <v>-0.80538953620800335</v>
      </c>
      <c r="Y13" s="20">
        <v>-0.68768707074845681</v>
      </c>
      <c r="Z13" s="20">
        <v>0.33790194248873978</v>
      </c>
      <c r="AA13" s="20">
        <v>-3.5901520295379886E-2</v>
      </c>
    </row>
    <row r="14" spans="1:27" x14ac:dyDescent="0.25">
      <c r="A14" s="2" t="s">
        <v>21</v>
      </c>
      <c r="B14" s="2" t="s">
        <v>17</v>
      </c>
      <c r="C14" s="3">
        <v>293</v>
      </c>
      <c r="D14" s="4">
        <v>20.81911262798635</v>
      </c>
      <c r="E14" s="5">
        <v>3.7240761247716549</v>
      </c>
      <c r="F14" s="5">
        <v>0.99073303041219551</v>
      </c>
      <c r="G14" s="4">
        <v>21.168160156359392</v>
      </c>
      <c r="H14" s="5">
        <v>-0.34904752837304209</v>
      </c>
      <c r="I14" s="17">
        <v>2.0810380008163459E-2</v>
      </c>
      <c r="J14" s="7">
        <v>2.3960701997779121E-2</v>
      </c>
      <c r="K14" s="7">
        <v>5.0818584557453771E-3</v>
      </c>
      <c r="L14" s="8">
        <v>1.075974906220911E-4</v>
      </c>
      <c r="M14" s="8">
        <v>3.3531926892118378E-3</v>
      </c>
      <c r="N14" s="7">
        <v>2.4941340222860162E-3</v>
      </c>
      <c r="R14" s="19" t="s">
        <v>18</v>
      </c>
      <c r="S14" s="20">
        <v>-0.29091161728019138</v>
      </c>
      <c r="T14" s="20">
        <v>-4.8241323863497439E-3</v>
      </c>
      <c r="U14" s="20">
        <v>-0.97156755032779174</v>
      </c>
      <c r="V14" s="20">
        <v>0.40845429605942057</v>
      </c>
      <c r="W14" s="20">
        <v>0.30794810022750613</v>
      </c>
      <c r="X14" s="20">
        <v>1.1614255952776831</v>
      </c>
      <c r="Y14" s="20">
        <v>0.14579916176308791</v>
      </c>
      <c r="Z14" s="20">
        <v>1.0074838749234161</v>
      </c>
      <c r="AA14" s="20">
        <v>0.22047596603209763</v>
      </c>
    </row>
    <row r="15" spans="1:27" x14ac:dyDescent="0.25">
      <c r="A15" s="9" t="s">
        <v>21</v>
      </c>
      <c r="B15" s="9" t="s">
        <v>18</v>
      </c>
      <c r="C15" s="10">
        <v>94</v>
      </c>
      <c r="D15" s="11">
        <v>10.638297872340431</v>
      </c>
      <c r="E15" s="12">
        <v>3.969864347466654</v>
      </c>
      <c r="F15" s="12">
        <v>0.49251033880992012</v>
      </c>
      <c r="G15" s="11">
        <v>20.121273541595581</v>
      </c>
      <c r="H15" s="12">
        <v>-9.4829756692551594</v>
      </c>
      <c r="I15" s="16">
        <v>-0.97156755032779174</v>
      </c>
      <c r="J15" s="14">
        <v>-0.98202289053713787</v>
      </c>
      <c r="K15" s="14">
        <v>-0.13481734830388581</v>
      </c>
      <c r="L15" s="15">
        <v>-2.724912082664743E-3</v>
      </c>
      <c r="M15" s="15">
        <v>3.1152651537877879E-3</v>
      </c>
      <c r="N15" s="14">
        <v>-0.18250984008605881</v>
      </c>
      <c r="R15" s="19" t="s">
        <v>19</v>
      </c>
      <c r="S15" s="20">
        <v>-0.6659615168978954</v>
      </c>
      <c r="T15" s="20">
        <v>-0.2718236054196736</v>
      </c>
      <c r="U15" s="20">
        <v>-0.63691699501030274</v>
      </c>
      <c r="V15" s="20">
        <v>-0.21646048054630501</v>
      </c>
      <c r="W15" s="20">
        <v>0.54350984480773146</v>
      </c>
      <c r="X15" s="20">
        <v>0.94988550562379348</v>
      </c>
      <c r="Y15" s="20">
        <v>-3.0417156290742851E-2</v>
      </c>
      <c r="Z15" s="20">
        <v>0.81838035954984267</v>
      </c>
      <c r="AA15" s="20">
        <v>6.1274494477056012E-2</v>
      </c>
    </row>
    <row r="16" spans="1:27" x14ac:dyDescent="0.25">
      <c r="A16" s="2" t="s">
        <v>21</v>
      </c>
      <c r="B16" s="2" t="s">
        <v>19</v>
      </c>
      <c r="C16" s="3">
        <v>69</v>
      </c>
      <c r="D16" s="4">
        <v>11.594202898550719</v>
      </c>
      <c r="E16" s="5">
        <v>3.7803010833440132</v>
      </c>
      <c r="F16" s="5">
        <v>0.59180761968070539</v>
      </c>
      <c r="G16" s="4">
        <v>20.919184431380199</v>
      </c>
      <c r="H16" s="5">
        <v>-9.3249815328294776</v>
      </c>
      <c r="I16" s="6">
        <v>-0.63691699501030274</v>
      </c>
      <c r="J16" s="7">
        <v>-0.68213354480778821</v>
      </c>
      <c r="K16" s="7">
        <v>-0.1302944579498953</v>
      </c>
      <c r="L16" s="8">
        <v>-1.5305686412361299E-3</v>
      </c>
      <c r="M16" s="8">
        <v>1.821506006201967E-3</v>
      </c>
      <c r="N16" s="7">
        <v>-0.15533184582064119</v>
      </c>
      <c r="R16" s="19" t="s">
        <v>35</v>
      </c>
      <c r="S16" s="20">
        <v>-0.38531612977690738</v>
      </c>
      <c r="T16" s="20">
        <v>0.2258293913700887</v>
      </c>
      <c r="U16" s="20">
        <v>-0.39625586938366214</v>
      </c>
      <c r="V16" s="20">
        <v>0.35920383754045593</v>
      </c>
      <c r="W16" s="20">
        <v>0.31326470114213018</v>
      </c>
      <c r="X16" s="20">
        <v>0.28812721902379657</v>
      </c>
      <c r="Y16" s="20">
        <v>-0.18726340829389082</v>
      </c>
      <c r="Z16" s="20">
        <v>0.60557819625651688</v>
      </c>
      <c r="AA16" s="20">
        <v>0.10289599223481601</v>
      </c>
    </row>
    <row r="17" spans="1:14" x14ac:dyDescent="0.25">
      <c r="A17" s="9" t="s">
        <v>22</v>
      </c>
      <c r="B17" s="9" t="s">
        <v>15</v>
      </c>
      <c r="C17" s="10">
        <v>866</v>
      </c>
      <c r="D17" s="11">
        <v>25.173210161662819</v>
      </c>
      <c r="E17" s="12">
        <v>3.4688408013640002</v>
      </c>
      <c r="F17" s="12">
        <v>1.064736006383262</v>
      </c>
      <c r="G17" s="11">
        <v>22.37716769178207</v>
      </c>
      <c r="H17" s="12">
        <v>2.796042469880744</v>
      </c>
      <c r="I17" s="13">
        <v>0.46871295848098687</v>
      </c>
      <c r="J17" s="14">
        <v>0.51072861622262078</v>
      </c>
      <c r="K17" s="14">
        <v>0.1837742805895996</v>
      </c>
      <c r="L17" s="15">
        <v>3.752046127072548E-3</v>
      </c>
      <c r="M17" s="15">
        <v>3.5219674051845651E-3</v>
      </c>
      <c r="N17" s="14">
        <v>3.6656644008161862E-2</v>
      </c>
    </row>
    <row r="18" spans="1:14" x14ac:dyDescent="0.25">
      <c r="A18" s="2" t="s">
        <v>22</v>
      </c>
      <c r="B18" s="2" t="s">
        <v>16</v>
      </c>
      <c r="C18" s="3">
        <v>62</v>
      </c>
      <c r="D18" s="4">
        <v>30.64516129032258</v>
      </c>
      <c r="E18" s="5">
        <v>3.7269258233135631</v>
      </c>
      <c r="F18" s="5">
        <v>1.552334993532194</v>
      </c>
      <c r="G18" s="4">
        <v>21.155398611671099</v>
      </c>
      <c r="H18" s="5">
        <v>9.4897626786514842</v>
      </c>
      <c r="I18" s="17">
        <v>0.62110748826950668</v>
      </c>
      <c r="J18" s="7">
        <v>0.73150760704564521</v>
      </c>
      <c r="K18" s="7">
        <v>0.21381496512745549</v>
      </c>
      <c r="L18" s="8">
        <v>1.072425835254574E-3</v>
      </c>
      <c r="M18" s="8">
        <v>9.2806313322462764E-4</v>
      </c>
      <c r="N18" s="7">
        <v>0.1196604187943648</v>
      </c>
    </row>
    <row r="19" spans="1:14" x14ac:dyDescent="0.25">
      <c r="A19" s="9" t="s">
        <v>22</v>
      </c>
      <c r="B19" s="9" t="s">
        <v>17</v>
      </c>
      <c r="C19" s="10">
        <v>296</v>
      </c>
      <c r="D19" s="11">
        <v>24.32432432432433</v>
      </c>
      <c r="E19" s="12">
        <v>4.2738874274445511</v>
      </c>
      <c r="F19" s="12">
        <v>1.216933161796238</v>
      </c>
      <c r="G19" s="11">
        <v>18.961345189056249</v>
      </c>
      <c r="H19" s="12">
        <v>5.3629791352680716</v>
      </c>
      <c r="I19" s="13">
        <v>0.51420492543867069</v>
      </c>
      <c r="J19" s="14">
        <v>0.52549508934770683</v>
      </c>
      <c r="K19" s="14">
        <v>0.1498805653439591</v>
      </c>
      <c r="L19" s="15">
        <v>2.3128896562176491E-3</v>
      </c>
      <c r="M19" s="15">
        <v>2.644132342019804E-3</v>
      </c>
      <c r="N19" s="14">
        <v>5.5089367089613747E-2</v>
      </c>
    </row>
    <row r="20" spans="1:14" x14ac:dyDescent="0.25">
      <c r="A20" s="2" t="s">
        <v>22</v>
      </c>
      <c r="B20" s="2" t="s">
        <v>18</v>
      </c>
      <c r="C20" s="3">
        <v>71</v>
      </c>
      <c r="D20" s="4">
        <v>22.535211267605639</v>
      </c>
      <c r="E20" s="5">
        <v>4.3458685598387001</v>
      </c>
      <c r="F20" s="5">
        <v>1.564131301055989</v>
      </c>
      <c r="G20" s="4">
        <v>18.706034179601549</v>
      </c>
      <c r="H20" s="5">
        <v>3.8291770880040898</v>
      </c>
      <c r="I20" s="17">
        <v>0.40845429605942057</v>
      </c>
      <c r="J20" s="7">
        <v>0.54907371376139413</v>
      </c>
      <c r="K20" s="7">
        <v>0.20637591109622699</v>
      </c>
      <c r="L20" s="8">
        <v>1.0059324596752781E-3</v>
      </c>
      <c r="M20" s="8">
        <v>9.2271235083924157E-4</v>
      </c>
      <c r="N20" s="7">
        <v>9.3097238376584207E-2</v>
      </c>
    </row>
    <row r="21" spans="1:14" x14ac:dyDescent="0.25">
      <c r="A21" s="9" t="s">
        <v>22</v>
      </c>
      <c r="B21" s="9" t="s">
        <v>19</v>
      </c>
      <c r="C21" s="10">
        <v>54</v>
      </c>
      <c r="D21" s="11">
        <v>16.666666666666661</v>
      </c>
      <c r="E21" s="12">
        <v>3.2698558102383801</v>
      </c>
      <c r="F21" s="12">
        <v>0.79398434281005359</v>
      </c>
      <c r="G21" s="11">
        <v>23.419994595652909</v>
      </c>
      <c r="H21" s="12">
        <v>-6.7533279289862387</v>
      </c>
      <c r="I21" s="16">
        <v>-0.21646048054630501</v>
      </c>
      <c r="J21" s="14">
        <v>-0.27390606880759127</v>
      </c>
      <c r="K21" s="14">
        <v>-6.2468012482102382E-2</v>
      </c>
      <c r="L21" s="15">
        <v>-4.6283092763859112E-4</v>
      </c>
      <c r="M21" s="15">
        <v>1.212687207205153E-3</v>
      </c>
      <c r="N21" s="14">
        <v>-6.3131988800692887E-2</v>
      </c>
    </row>
    <row r="22" spans="1:14" x14ac:dyDescent="0.25">
      <c r="A22" s="2" t="s">
        <v>23</v>
      </c>
      <c r="B22" s="2" t="s">
        <v>15</v>
      </c>
      <c r="C22" s="3">
        <v>842</v>
      </c>
      <c r="D22" s="4">
        <v>22.921615201900241</v>
      </c>
      <c r="E22" s="5">
        <v>3.655376098402868</v>
      </c>
      <c r="F22" s="5">
        <v>1.060212238091409</v>
      </c>
      <c r="G22" s="4">
        <v>21.48054161173085</v>
      </c>
      <c r="H22" s="5">
        <v>1.441073590169389</v>
      </c>
      <c r="I22" s="17">
        <v>0.29105035338680391</v>
      </c>
      <c r="J22" s="7">
        <v>0.32714379301557639</v>
      </c>
      <c r="K22" s="7">
        <v>0.13075627111263519</v>
      </c>
      <c r="L22" s="8">
        <v>1.882318015069841E-3</v>
      </c>
      <c r="M22" s="8">
        <v>2.7237014532493181E-3</v>
      </c>
      <c r="N22" s="7">
        <v>2.6843757801333881E-2</v>
      </c>
    </row>
    <row r="23" spans="1:14" x14ac:dyDescent="0.25">
      <c r="A23" s="9" t="s">
        <v>23</v>
      </c>
      <c r="B23" s="9" t="s">
        <v>16</v>
      </c>
      <c r="C23" s="10">
        <v>57</v>
      </c>
      <c r="D23" s="11">
        <v>24.561403508771932</v>
      </c>
      <c r="E23" s="12">
        <v>4.2896427955950944</v>
      </c>
      <c r="F23" s="12">
        <v>1.4008203996449751</v>
      </c>
      <c r="G23" s="11">
        <v>18.904868223478939</v>
      </c>
      <c r="H23" s="12">
        <v>5.6565352852929882</v>
      </c>
      <c r="I23" s="13">
        <v>0.57307445093378184</v>
      </c>
      <c r="J23" s="14">
        <v>0.73542440899550732</v>
      </c>
      <c r="K23" s="14">
        <v>0.28385297847003832</v>
      </c>
      <c r="L23" s="15">
        <v>6.5969167729875268E-4</v>
      </c>
      <c r="M23" s="15">
        <v>5.2212010017295212E-4</v>
      </c>
      <c r="N23" s="14">
        <v>0.1195483948477299</v>
      </c>
    </row>
    <row r="24" spans="1:14" x14ac:dyDescent="0.25">
      <c r="A24" s="2" t="s">
        <v>23</v>
      </c>
      <c r="B24" s="2" t="s">
        <v>17</v>
      </c>
      <c r="C24" s="3">
        <v>313</v>
      </c>
      <c r="D24" s="4">
        <v>21.725239616613418</v>
      </c>
      <c r="E24" s="5">
        <v>4.4405986895762473</v>
      </c>
      <c r="F24" s="5">
        <v>1.0801869462315981</v>
      </c>
      <c r="G24" s="4">
        <v>18.380330126460539</v>
      </c>
      <c r="H24" s="5">
        <v>3.344909490152884</v>
      </c>
      <c r="I24" s="17">
        <v>0.33790194248873978</v>
      </c>
      <c r="J24" s="7">
        <v>0.36812219064898472</v>
      </c>
      <c r="K24" s="7">
        <v>9.7395352070395708E-2</v>
      </c>
      <c r="L24" s="8">
        <v>1.4933614829872211E-3</v>
      </c>
      <c r="M24" s="8">
        <v>2.9464255876300769E-3</v>
      </c>
      <c r="N24" s="7">
        <v>5.2768932131750851E-2</v>
      </c>
    </row>
    <row r="25" spans="1:14" x14ac:dyDescent="0.25">
      <c r="A25" s="9" t="s">
        <v>23</v>
      </c>
      <c r="B25" s="9" t="s">
        <v>18</v>
      </c>
      <c r="C25" s="10">
        <v>69</v>
      </c>
      <c r="D25" s="11">
        <v>30.434782608695659</v>
      </c>
      <c r="E25" s="12">
        <v>4.9516539869303946</v>
      </c>
      <c r="F25" s="12">
        <v>1.798186154100827</v>
      </c>
      <c r="G25" s="11">
        <v>16.80205203790344</v>
      </c>
      <c r="H25" s="12">
        <v>13.63273057079221</v>
      </c>
      <c r="I25" s="13">
        <v>1.0074838749234161</v>
      </c>
      <c r="J25" s="14">
        <v>1.3411421010430611</v>
      </c>
      <c r="K25" s="14">
        <v>0.37749799752752872</v>
      </c>
      <c r="L25" s="15">
        <v>1.05838956214169E-3</v>
      </c>
      <c r="M25" s="15">
        <v>6.5040797663602485E-4</v>
      </c>
      <c r="N25" s="14">
        <v>0.19651218107625609</v>
      </c>
    </row>
    <row r="26" spans="1:14" x14ac:dyDescent="0.25">
      <c r="A26" s="2" t="s">
        <v>23</v>
      </c>
      <c r="B26" s="2" t="s">
        <v>19</v>
      </c>
      <c r="C26" s="3">
        <v>47</v>
      </c>
      <c r="D26" s="4">
        <v>27.659574468085111</v>
      </c>
      <c r="E26" s="5">
        <v>4.3908439669238284</v>
      </c>
      <c r="F26" s="5">
        <v>1.666367121587276</v>
      </c>
      <c r="G26" s="4">
        <v>18.549971138760839</v>
      </c>
      <c r="H26" s="5">
        <v>9.1096033293242709</v>
      </c>
      <c r="I26" s="17">
        <v>0.81838035954984267</v>
      </c>
      <c r="J26" s="7">
        <v>1.0808059198382309</v>
      </c>
      <c r="K26" s="7">
        <v>0.25903452388902282</v>
      </c>
      <c r="L26" s="8">
        <v>6.91146334222883E-4</v>
      </c>
      <c r="M26" s="8">
        <v>5.015220935355824E-4</v>
      </c>
      <c r="N26" s="7">
        <v>0.2021842854498605</v>
      </c>
    </row>
    <row r="27" spans="1:14" x14ac:dyDescent="0.25">
      <c r="A27" s="9" t="s">
        <v>24</v>
      </c>
      <c r="B27" s="9" t="s">
        <v>15</v>
      </c>
      <c r="C27" s="10">
        <v>889</v>
      </c>
      <c r="D27" s="11">
        <v>23.17210348706412</v>
      </c>
      <c r="E27" s="12">
        <v>3.4383921284281742</v>
      </c>
      <c r="F27" s="12">
        <v>1.107874830968224</v>
      </c>
      <c r="G27" s="11">
        <v>22.53068163119114</v>
      </c>
      <c r="H27" s="12">
        <v>0.64142185587297562</v>
      </c>
      <c r="I27" s="13">
        <v>0.55178402205440391</v>
      </c>
      <c r="J27" s="14">
        <v>0.62387712199102119</v>
      </c>
      <c r="K27" s="14">
        <v>0.2072110720231421</v>
      </c>
      <c r="L27" s="15">
        <v>2.6074200473968799E-3</v>
      </c>
      <c r="M27" s="15">
        <v>2.2319010427580221E-3</v>
      </c>
      <c r="N27" s="14">
        <v>4.2067018858736163E-2</v>
      </c>
    </row>
    <row r="28" spans="1:14" x14ac:dyDescent="0.25">
      <c r="A28" s="2" t="s">
        <v>24</v>
      </c>
      <c r="B28" s="2" t="s">
        <v>16</v>
      </c>
      <c r="C28" s="3">
        <v>75</v>
      </c>
      <c r="D28" s="4">
        <v>29.333333333333329</v>
      </c>
      <c r="E28" s="5">
        <v>3.8336150001894178</v>
      </c>
      <c r="F28" s="5">
        <v>1.31159477641471</v>
      </c>
      <c r="G28" s="4">
        <v>20.688449534371529</v>
      </c>
      <c r="H28" s="5">
        <v>8.6448837989618053</v>
      </c>
      <c r="I28" s="17">
        <v>0.57169225490730191</v>
      </c>
      <c r="J28" s="7">
        <v>0.68500050739024998</v>
      </c>
      <c r="K28" s="7">
        <v>0.14844111366054691</v>
      </c>
      <c r="L28" s="8">
        <v>6.1010018442885004E-4</v>
      </c>
      <c r="M28" s="8">
        <v>6.6031688991154244E-4</v>
      </c>
      <c r="N28" s="7">
        <v>0.1065189248128479</v>
      </c>
    </row>
    <row r="29" spans="1:14" x14ac:dyDescent="0.25">
      <c r="A29" s="9" t="s">
        <v>24</v>
      </c>
      <c r="B29" s="9" t="s">
        <v>17</v>
      </c>
      <c r="C29" s="10">
        <v>324</v>
      </c>
      <c r="D29" s="11">
        <v>19.44444444444445</v>
      </c>
      <c r="E29" s="12">
        <v>3.635789838553491</v>
      </c>
      <c r="F29" s="12">
        <v>0.86078021905203661</v>
      </c>
      <c r="G29" s="11">
        <v>21.57129712144221</v>
      </c>
      <c r="H29" s="12">
        <v>-2.1268526769977698</v>
      </c>
      <c r="I29" s="16">
        <v>-0.40861071628629242</v>
      </c>
      <c r="J29" s="14">
        <v>-0.46976071577405693</v>
      </c>
      <c r="K29" s="14">
        <v>-0.11407219232644029</v>
      </c>
      <c r="L29" s="15">
        <v>-1.0829344265535321E-3</v>
      </c>
      <c r="M29" s="15">
        <v>1.573035384863722E-3</v>
      </c>
      <c r="N29" s="14">
        <v>-4.3032877591823109E-2</v>
      </c>
    </row>
    <row r="30" spans="1:14" x14ac:dyDescent="0.25">
      <c r="A30" s="2" t="s">
        <v>24</v>
      </c>
      <c r="B30" s="2" t="s">
        <v>18</v>
      </c>
      <c r="C30" s="3">
        <v>88</v>
      </c>
      <c r="D30" s="4">
        <v>23.86363636363636</v>
      </c>
      <c r="E30" s="5">
        <v>3.80193400677505</v>
      </c>
      <c r="F30" s="5">
        <v>1.213491634259624</v>
      </c>
      <c r="G30" s="4">
        <v>20.82494258748871</v>
      </c>
      <c r="H30" s="5">
        <v>3.038693776147658</v>
      </c>
      <c r="I30" s="17">
        <v>0.30794810022750613</v>
      </c>
      <c r="J30" s="7">
        <v>0.3473850105157944</v>
      </c>
      <c r="K30" s="7">
        <v>0.1149213929709178</v>
      </c>
      <c r="L30" s="8">
        <v>3.3782573887984889E-4</v>
      </c>
      <c r="M30" s="8">
        <v>5.1760863031838627E-4</v>
      </c>
      <c r="N30" s="7">
        <v>5.3717978210426003E-2</v>
      </c>
    </row>
    <row r="31" spans="1:14" x14ac:dyDescent="0.25">
      <c r="A31" s="9" t="s">
        <v>24</v>
      </c>
      <c r="B31" s="9" t="s">
        <v>19</v>
      </c>
      <c r="C31" s="10">
        <v>58</v>
      </c>
      <c r="D31" s="11">
        <v>25.862068965517238</v>
      </c>
      <c r="E31" s="12">
        <v>3.9751481539741351</v>
      </c>
      <c r="F31" s="12">
        <v>1.533562391102588</v>
      </c>
      <c r="G31" s="11">
        <v>20.099903943588149</v>
      </c>
      <c r="H31" s="12">
        <v>5.7621650219290972</v>
      </c>
      <c r="I31" s="13">
        <v>0.54350984480773146</v>
      </c>
      <c r="J31" s="14">
        <v>0.63638500591605873</v>
      </c>
      <c r="K31" s="14">
        <v>0.21064063618839121</v>
      </c>
      <c r="L31" s="15">
        <v>4.6489939538956642E-4</v>
      </c>
      <c r="M31" s="15">
        <v>3.6565607846593011E-4</v>
      </c>
      <c r="N31" s="14">
        <v>0.1138577953757904</v>
      </c>
    </row>
    <row r="32" spans="1:14" x14ac:dyDescent="0.25">
      <c r="A32" s="2" t="s">
        <v>25</v>
      </c>
      <c r="B32" s="2" t="s">
        <v>15</v>
      </c>
      <c r="C32" s="3">
        <v>784</v>
      </c>
      <c r="D32" s="4">
        <v>22.576530612244898</v>
      </c>
      <c r="E32" s="5">
        <v>2.9945402781898931</v>
      </c>
      <c r="F32" s="5">
        <v>0.92974685171516336</v>
      </c>
      <c r="G32" s="4">
        <v>25.034169900851399</v>
      </c>
      <c r="H32" s="5">
        <v>-2.457639288606503</v>
      </c>
      <c r="I32" s="6">
        <v>-0.27819883886935082</v>
      </c>
      <c r="J32" s="7">
        <v>-0.2871191876821057</v>
      </c>
      <c r="K32" s="7">
        <v>-6.7089205280272263E-2</v>
      </c>
      <c r="L32" s="8">
        <v>-2.307014353145394E-3</v>
      </c>
      <c r="M32" s="8">
        <v>5.9773504251680477E-3</v>
      </c>
      <c r="N32" s="7">
        <v>-2.5203995520615238E-2</v>
      </c>
    </row>
    <row r="33" spans="1:14" x14ac:dyDescent="0.25">
      <c r="A33" s="9" t="s">
        <v>25</v>
      </c>
      <c r="B33" s="9" t="s">
        <v>16</v>
      </c>
      <c r="C33" s="10">
        <v>71</v>
      </c>
      <c r="D33" s="11">
        <v>21.12676056338028</v>
      </c>
      <c r="E33" s="12">
        <v>4.1240262025052159</v>
      </c>
      <c r="F33" s="12">
        <v>1.353431883702388</v>
      </c>
      <c r="G33" s="11">
        <v>19.5159033244421</v>
      </c>
      <c r="H33" s="12">
        <v>1.610857238938177</v>
      </c>
      <c r="I33" s="13">
        <v>0.41291336929486061</v>
      </c>
      <c r="J33" s="14">
        <v>0.46900380171546813</v>
      </c>
      <c r="K33" s="14">
        <v>0.1671154916550282</v>
      </c>
      <c r="L33" s="15">
        <v>8.8812907197669325E-4</v>
      </c>
      <c r="M33" s="15">
        <v>1.163968768459422E-3</v>
      </c>
      <c r="N33" s="14">
        <v>6.9736105122862727E-2</v>
      </c>
    </row>
    <row r="34" spans="1:14" x14ac:dyDescent="0.25">
      <c r="A34" s="2" t="s">
        <v>25</v>
      </c>
      <c r="B34" s="2" t="s">
        <v>17</v>
      </c>
      <c r="C34" s="3">
        <v>285</v>
      </c>
      <c r="D34" s="4">
        <v>16.84210526315789</v>
      </c>
      <c r="E34" s="5">
        <v>3.9105426077923671</v>
      </c>
      <c r="F34" s="5">
        <v>0.65706529593694996</v>
      </c>
      <c r="G34" s="4">
        <v>20.36434829855941</v>
      </c>
      <c r="H34" s="5">
        <v>-3.52224303540152</v>
      </c>
      <c r="I34" s="6">
        <v>-0.80538953620800335</v>
      </c>
      <c r="J34" s="7">
        <v>-0.75329919279810675</v>
      </c>
      <c r="K34" s="7">
        <v>-0.15200188436342579</v>
      </c>
      <c r="L34" s="8">
        <v>-4.0356219552990834E-3</v>
      </c>
      <c r="M34" s="8">
        <v>4.8896451671491146E-3</v>
      </c>
      <c r="N34" s="7">
        <v>-0.1212769486604839</v>
      </c>
    </row>
    <row r="35" spans="1:14" x14ac:dyDescent="0.25">
      <c r="A35" s="9" t="s">
        <v>25</v>
      </c>
      <c r="B35" s="9" t="s">
        <v>18</v>
      </c>
      <c r="C35" s="10">
        <v>71</v>
      </c>
      <c r="D35" s="11">
        <v>28.16901408450704</v>
      </c>
      <c r="E35" s="12">
        <v>3.9211009054250949</v>
      </c>
      <c r="F35" s="12">
        <v>2.1910738410355441</v>
      </c>
      <c r="G35" s="11">
        <v>20.320656276273159</v>
      </c>
      <c r="H35" s="12">
        <v>7.8483578082338799</v>
      </c>
      <c r="I35" s="13">
        <v>1.1614255952776831</v>
      </c>
      <c r="J35" s="14">
        <v>1.6121258309660089</v>
      </c>
      <c r="K35" s="14">
        <v>0.7570127120434984</v>
      </c>
      <c r="L35" s="15">
        <v>2.8892646463449289E-3</v>
      </c>
      <c r="M35" s="15">
        <v>8.3520909820874025E-4</v>
      </c>
      <c r="N35" s="14">
        <v>0.2401441159684759</v>
      </c>
    </row>
    <row r="36" spans="1:14" x14ac:dyDescent="0.25">
      <c r="A36" s="2" t="s">
        <v>25</v>
      </c>
      <c r="B36" s="2" t="s">
        <v>19</v>
      </c>
      <c r="C36" s="3">
        <v>41</v>
      </c>
      <c r="D36" s="4">
        <v>26.829268292682929</v>
      </c>
      <c r="E36" s="5">
        <v>4.3365581669197768</v>
      </c>
      <c r="F36" s="5">
        <v>2.1259850848892081</v>
      </c>
      <c r="G36" s="4">
        <v>18.738669545453359</v>
      </c>
      <c r="H36" s="5">
        <v>8.0905987472295742</v>
      </c>
      <c r="I36" s="17">
        <v>0.94988550562379348</v>
      </c>
      <c r="J36" s="7">
        <v>1.36620873385972</v>
      </c>
      <c r="K36" s="7">
        <v>0.7026741737594725</v>
      </c>
      <c r="L36" s="8">
        <v>1.8666136034705991E-3</v>
      </c>
      <c r="M36" s="8">
        <v>7.1910077624770617E-4</v>
      </c>
      <c r="N36" s="7">
        <v>0.23710891177972171</v>
      </c>
    </row>
    <row r="37" spans="1:14" x14ac:dyDescent="0.25">
      <c r="A37" s="9" t="s">
        <v>26</v>
      </c>
      <c r="B37" s="9" t="s">
        <v>15</v>
      </c>
      <c r="C37" s="10">
        <v>848</v>
      </c>
      <c r="D37" s="11">
        <v>22.169811320754722</v>
      </c>
      <c r="E37" s="12">
        <v>3.501247706567383</v>
      </c>
      <c r="F37" s="12">
        <v>1.027799240086589</v>
      </c>
      <c r="G37" s="11">
        <v>22.216062416227089</v>
      </c>
      <c r="H37" s="12">
        <v>-4.6251095472368831E-2</v>
      </c>
      <c r="I37" s="13">
        <v>0.18232212403816311</v>
      </c>
      <c r="J37" s="14">
        <v>0.19649740011668509</v>
      </c>
      <c r="K37" s="14">
        <v>5.4846177198038033E-2</v>
      </c>
      <c r="L37" s="15">
        <v>1.1545214716004561E-3</v>
      </c>
      <c r="M37" s="15">
        <v>3.4912437962178878E-3</v>
      </c>
      <c r="N37" s="14">
        <v>1.5023134936721361E-2</v>
      </c>
    </row>
    <row r="38" spans="1:14" x14ac:dyDescent="0.25">
      <c r="A38" s="2" t="s">
        <v>26</v>
      </c>
      <c r="B38" s="2" t="s">
        <v>16</v>
      </c>
      <c r="C38" s="3">
        <v>42</v>
      </c>
      <c r="D38" s="4">
        <v>38.095238095238088</v>
      </c>
      <c r="E38" s="5">
        <v>3.5339967528873522</v>
      </c>
      <c r="F38" s="5">
        <v>2.99458623895051</v>
      </c>
      <c r="G38" s="4">
        <v>22.055595857301341</v>
      </c>
      <c r="H38" s="5">
        <v>16.03964223793675</v>
      </c>
      <c r="I38" s="17">
        <v>1.15779351744251</v>
      </c>
      <c r="J38" s="7">
        <v>1.6779831483572341</v>
      </c>
      <c r="K38" s="7">
        <v>0.94576114629902019</v>
      </c>
      <c r="L38" s="8">
        <v>1.641024861497566E-3</v>
      </c>
      <c r="M38" s="8">
        <v>6.2392143095252306E-4</v>
      </c>
      <c r="N38" s="7">
        <v>0.30818947652507278</v>
      </c>
    </row>
    <row r="39" spans="1:14" x14ac:dyDescent="0.25">
      <c r="A39" s="9" t="s">
        <v>26</v>
      </c>
      <c r="B39" s="9" t="s">
        <v>17</v>
      </c>
      <c r="C39" s="10">
        <v>275</v>
      </c>
      <c r="D39" s="11">
        <v>20.36363636363636</v>
      </c>
      <c r="E39" s="12">
        <v>3.570987482051037</v>
      </c>
      <c r="F39" s="12">
        <v>1.013937835026322</v>
      </c>
      <c r="G39" s="11">
        <v>21.877110885267459</v>
      </c>
      <c r="H39" s="12">
        <v>-1.5134745216310921</v>
      </c>
      <c r="I39" s="13">
        <v>6.5679053175793853E-2</v>
      </c>
      <c r="J39" s="14">
        <v>7.5605566940187427E-2</v>
      </c>
      <c r="K39" s="14">
        <v>2.0509387032421271E-2</v>
      </c>
      <c r="L39" s="15">
        <v>2.4259276616783729E-4</v>
      </c>
      <c r="M39" s="15">
        <v>2.0969381702682539E-3</v>
      </c>
      <c r="N39" s="14">
        <v>8.263699533140734E-3</v>
      </c>
    </row>
    <row r="40" spans="1:14" x14ac:dyDescent="0.25">
      <c r="A40" s="2" t="s">
        <v>26</v>
      </c>
      <c r="B40" s="2" t="s">
        <v>18</v>
      </c>
      <c r="C40" s="3">
        <v>73</v>
      </c>
      <c r="D40" s="4">
        <v>23.287671232876711</v>
      </c>
      <c r="E40" s="5">
        <v>3.893961917261417</v>
      </c>
      <c r="F40" s="5">
        <v>0.98940910393146764</v>
      </c>
      <c r="G40" s="4">
        <v>20.433342492366261</v>
      </c>
      <c r="H40" s="5">
        <v>2.8543287405104478</v>
      </c>
      <c r="I40" s="6">
        <v>-4.8241323863497439E-3</v>
      </c>
      <c r="J40" s="7">
        <v>-5.9712505505572803E-3</v>
      </c>
      <c r="K40" s="7">
        <v>-1.87885587046485E-3</v>
      </c>
      <c r="L40" s="8">
        <v>-7.1225042080858002E-6</v>
      </c>
      <c r="M40" s="8">
        <v>6.8178002057876015E-4</v>
      </c>
      <c r="N40" s="7">
        <v>-1.162625276650041E-3</v>
      </c>
    </row>
    <row r="41" spans="1:14" x14ac:dyDescent="0.25">
      <c r="A41" s="9" t="s">
        <v>26</v>
      </c>
      <c r="B41" s="9" t="s">
        <v>19</v>
      </c>
      <c r="C41" s="10">
        <v>63</v>
      </c>
      <c r="D41" s="11">
        <v>20.634920634920629</v>
      </c>
      <c r="E41" s="12">
        <v>3.7222978571295231</v>
      </c>
      <c r="F41" s="12">
        <v>0.82366346809895752</v>
      </c>
      <c r="G41" s="11">
        <v>21.176131414291099</v>
      </c>
      <c r="H41" s="12">
        <v>-0.54121077937046291</v>
      </c>
      <c r="I41" s="16">
        <v>-0.2718236054196736</v>
      </c>
      <c r="J41" s="14">
        <v>-0.319606212558806</v>
      </c>
      <c r="K41" s="14">
        <v>-8.6210058348570456E-2</v>
      </c>
      <c r="L41" s="15">
        <v>-3.3197145405426058E-4</v>
      </c>
      <c r="M41" s="15">
        <v>6.9207198991537249E-4</v>
      </c>
      <c r="N41" s="14">
        <v>-7.6084037132996968E-2</v>
      </c>
    </row>
  </sheetData>
  <conditionalFormatting pivot="1" sqref="S11:AA16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S11:Z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16" customWidth="1"/>
    <col min="4" max="4" width="18" customWidth="1"/>
    <col min="5" max="5" width="21" customWidth="1"/>
    <col min="6" max="6" width="14" customWidth="1"/>
    <col min="7" max="7" width="20" customWidth="1"/>
    <col min="8" max="8" width="14" customWidth="1"/>
  </cols>
  <sheetData>
    <row r="1" spans="1:8" x14ac:dyDescent="0.25">
      <c r="A1" s="1" t="s">
        <v>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5">
      <c r="A2" s="2" t="s">
        <v>15</v>
      </c>
      <c r="B2" s="4">
        <v>764.375</v>
      </c>
      <c r="C2" s="4">
        <v>22.464597081395009</v>
      </c>
      <c r="D2" s="7">
        <v>2.997513113121381E-3</v>
      </c>
      <c r="E2" s="7">
        <v>2.209259950778451E-2</v>
      </c>
      <c r="F2" s="7">
        <v>1.3331719665565379E-2</v>
      </c>
      <c r="G2" s="8">
        <v>-1.242161719939572E-6</v>
      </c>
      <c r="H2" s="8">
        <v>4.0880620853441857E-3</v>
      </c>
    </row>
    <row r="3" spans="1:8" x14ac:dyDescent="0.25">
      <c r="A3" s="9" t="s">
        <v>16</v>
      </c>
      <c r="B3" s="11">
        <v>55</v>
      </c>
      <c r="C3" s="11">
        <v>24.850480207937441</v>
      </c>
      <c r="D3" s="14">
        <v>0.26563350784718492</v>
      </c>
      <c r="E3" s="14">
        <v>0.49230281210108129</v>
      </c>
      <c r="F3" s="14">
        <v>0.40867547880110588</v>
      </c>
      <c r="G3" s="15">
        <v>5.7995807618399509E-4</v>
      </c>
      <c r="H3" s="15">
        <v>8.2173937320431439E-4</v>
      </c>
    </row>
    <row r="4" spans="1:8" x14ac:dyDescent="0.25">
      <c r="A4" s="2" t="s">
        <v>17</v>
      </c>
      <c r="B4" s="4">
        <v>269.625</v>
      </c>
      <c r="C4" s="4">
        <v>20.696964853431719</v>
      </c>
      <c r="D4" s="7">
        <v>-3.5901520295379873E-2</v>
      </c>
      <c r="E4" s="7">
        <v>4.3244716591978663E-2</v>
      </c>
      <c r="F4" s="7">
        <v>-2.1969437384064681E-2</v>
      </c>
      <c r="G4" s="8">
        <v>-3.2454918218909718E-4</v>
      </c>
      <c r="H4" s="8">
        <v>2.8130318286001921E-3</v>
      </c>
    </row>
    <row r="5" spans="1:8" x14ac:dyDescent="0.25">
      <c r="A5" s="9" t="s">
        <v>18</v>
      </c>
      <c r="B5" s="11">
        <v>69.875</v>
      </c>
      <c r="C5" s="11">
        <v>21.366787916261071</v>
      </c>
      <c r="D5" s="14">
        <v>0.22047596603209749</v>
      </c>
      <c r="E5" s="14">
        <v>0.226873630995297</v>
      </c>
      <c r="F5" s="14">
        <v>0.33065832374194248</v>
      </c>
      <c r="G5" s="15">
        <v>3.2312133382660888E-4</v>
      </c>
      <c r="H5" s="15">
        <v>9.6512772173551909E-4</v>
      </c>
    </row>
    <row r="6" spans="1:8" x14ac:dyDescent="0.25">
      <c r="A6" s="2" t="s">
        <v>19</v>
      </c>
      <c r="B6" s="4">
        <v>49.125</v>
      </c>
      <c r="C6" s="4">
        <v>20.279987400666862</v>
      </c>
      <c r="D6" s="7">
        <v>6.1274494477055998E-2</v>
      </c>
      <c r="E6" s="7">
        <v>-0.1234388184185239</v>
      </c>
      <c r="F6" s="7">
        <v>9.6580572621036781E-2</v>
      </c>
      <c r="G6" s="8">
        <v>4.9620166489061371E-5</v>
      </c>
      <c r="H6" s="8">
        <v>7.7785068022551151E-4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Symbol</vt:lpstr>
      <vt:lpstr>Summary (avg across 8 symbols)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Hermes</cp:lastModifiedBy>
  <dcterms:created xsi:type="dcterms:W3CDTF">2026-07-28T20:43:55Z</dcterms:created>
  <dcterms:modified xsi:type="dcterms:W3CDTF">2026-08-01T11:40:14Z</dcterms:modified>
</cp:coreProperties>
</file>